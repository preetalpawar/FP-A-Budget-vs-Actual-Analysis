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D13C077-C50A-443E-81A0-0BE649330667}" xr6:coauthVersionLast="45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Raw_Data" sheetId="1" r:id="rId1"/>
    <sheet name="FP&amp;A analysis" sheetId="4" r:id="rId2"/>
    <sheet name="Dashboard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2" i="5" l="1"/>
  <c r="C23" i="5"/>
  <c r="C24" i="5"/>
  <c r="C25" i="5"/>
  <c r="C26" i="5"/>
  <c r="C27" i="5"/>
  <c r="C28" i="5"/>
  <c r="C29" i="5"/>
  <c r="C30" i="5"/>
  <c r="C31" i="5"/>
  <c r="C32" i="5"/>
  <c r="C21" i="5"/>
  <c r="B22" i="5"/>
  <c r="B23" i="5"/>
  <c r="B24" i="5"/>
  <c r="B25" i="5"/>
  <c r="B26" i="5"/>
  <c r="B27" i="5"/>
  <c r="B28" i="5"/>
  <c r="B29" i="5"/>
  <c r="B30" i="5"/>
  <c r="B31" i="5"/>
  <c r="B32" i="5"/>
  <c r="B21" i="5"/>
  <c r="C6" i="5"/>
  <c r="C7" i="5"/>
  <c r="C8" i="5"/>
  <c r="C9" i="5"/>
  <c r="C10" i="5"/>
  <c r="C11" i="5"/>
  <c r="C12" i="5"/>
  <c r="C13" i="5"/>
  <c r="C14" i="5"/>
  <c r="C15" i="5"/>
  <c r="C16" i="5"/>
  <c r="C5" i="5"/>
  <c r="B6" i="5"/>
  <c r="B7" i="5"/>
  <c r="B8" i="5"/>
  <c r="B9" i="5"/>
  <c r="B10" i="5"/>
  <c r="B11" i="5"/>
  <c r="B12" i="5"/>
  <c r="B13" i="5"/>
  <c r="B14" i="5"/>
  <c r="B15" i="5"/>
  <c r="B16" i="5"/>
  <c r="B5" i="5"/>
  <c r="G5" i="4"/>
  <c r="G6" i="4"/>
  <c r="G7" i="4"/>
  <c r="G8" i="4"/>
  <c r="G9" i="4"/>
  <c r="G10" i="4"/>
  <c r="G11" i="4"/>
  <c r="G12" i="4"/>
  <c r="G13" i="4"/>
  <c r="G14" i="4"/>
  <c r="G15" i="4"/>
  <c r="G4" i="4"/>
  <c r="D5" i="4"/>
  <c r="D6" i="4"/>
  <c r="D7" i="4"/>
  <c r="D8" i="4"/>
  <c r="D9" i="4"/>
  <c r="D10" i="4"/>
  <c r="D11" i="4"/>
  <c r="D12" i="4"/>
  <c r="D13" i="4"/>
  <c r="D14" i="4"/>
  <c r="D15" i="4"/>
  <c r="D4" i="4"/>
  <c r="E14" i="4"/>
  <c r="F9" i="4"/>
  <c r="F4" i="4"/>
  <c r="E15" i="4"/>
  <c r="E11" i="4"/>
  <c r="E12" i="4"/>
  <c r="E13" i="4"/>
  <c r="E10" i="4"/>
  <c r="E9" i="4"/>
  <c r="E8" i="4"/>
  <c r="E7" i="4"/>
  <c r="E6" i="4"/>
  <c r="E5" i="4"/>
  <c r="C13" i="4"/>
  <c r="B5" i="4"/>
  <c r="F13" i="4"/>
  <c r="F12" i="4"/>
  <c r="F10" i="4"/>
  <c r="F15" i="4"/>
  <c r="F14" i="4"/>
  <c r="F11" i="4"/>
  <c r="F8" i="4"/>
  <c r="F7" i="4"/>
  <c r="F6" i="4"/>
  <c r="F5" i="4"/>
  <c r="E4" i="4"/>
  <c r="C15" i="4"/>
  <c r="C14" i="4"/>
  <c r="C12" i="4"/>
  <c r="C11" i="4"/>
  <c r="C10" i="4"/>
  <c r="C9" i="4"/>
  <c r="C7" i="4"/>
  <c r="C8" i="4"/>
  <c r="C6" i="4"/>
  <c r="C5" i="4"/>
  <c r="C4" i="4"/>
  <c r="B15" i="4"/>
  <c r="B14" i="4"/>
  <c r="B13" i="4"/>
  <c r="B12" i="4"/>
  <c r="B11" i="4"/>
  <c r="B10" i="4"/>
  <c r="B9" i="4"/>
  <c r="B8" i="4"/>
  <c r="B7" i="4"/>
  <c r="B6" i="4"/>
  <c r="B4" i="4"/>
  <c r="B29" i="4" l="1"/>
  <c r="C29" i="4" s="1"/>
  <c r="B30" i="4"/>
  <c r="C30" i="4" s="1"/>
  <c r="B31" i="4"/>
  <c r="C31" i="4" s="1"/>
  <c r="B32" i="4"/>
  <c r="C32" i="4" s="1"/>
  <c r="B33" i="4"/>
  <c r="C33" i="4" s="1"/>
  <c r="B34" i="4"/>
  <c r="C34" i="4" s="1"/>
  <c r="B35" i="4"/>
  <c r="C35" i="4" s="1"/>
  <c r="B36" i="4"/>
  <c r="C36" i="4" s="1"/>
  <c r="B37" i="4"/>
  <c r="C37" i="4" s="1"/>
  <c r="B38" i="4"/>
  <c r="C38" i="4" s="1"/>
  <c r="B39" i="4"/>
  <c r="C39" i="4" s="1"/>
  <c r="B28" i="4"/>
  <c r="C28" i="4" s="1"/>
  <c r="B22" i="4"/>
  <c r="C22" i="4"/>
  <c r="C21" i="4"/>
  <c r="C23" i="4" l="1"/>
  <c r="D22" i="4"/>
  <c r="E22" i="4" s="1"/>
  <c r="D36" i="4"/>
  <c r="E36" i="4" s="1"/>
  <c r="D39" i="4"/>
  <c r="E39" i="4" s="1"/>
  <c r="D31" i="4"/>
  <c r="E31" i="4" s="1"/>
  <c r="D32" i="4"/>
  <c r="E32" i="4" s="1"/>
  <c r="D34" i="4"/>
  <c r="E34" i="4" s="1"/>
  <c r="D30" i="4"/>
  <c r="E30" i="4" s="1"/>
  <c r="D35" i="4"/>
  <c r="E35" i="4" s="1"/>
  <c r="D38" i="4"/>
  <c r="E38" i="4" s="1"/>
  <c r="D37" i="4"/>
  <c r="E37" i="4" s="1"/>
  <c r="D33" i="4"/>
  <c r="E33" i="4" s="1"/>
  <c r="D29" i="4"/>
  <c r="E29" i="4" s="1"/>
  <c r="B21" i="4"/>
  <c r="B23" i="4" s="1"/>
  <c r="D28" i="4"/>
  <c r="E28" i="4" s="1"/>
  <c r="D23" i="4" l="1"/>
  <c r="E23" i="4" s="1"/>
  <c r="D21" i="4"/>
  <c r="E21" i="4" s="1"/>
</calcChain>
</file>

<file path=xl/sharedStrings.xml><?xml version="1.0" encoding="utf-8"?>
<sst xmlns="http://schemas.openxmlformats.org/spreadsheetml/2006/main" count="216" uniqueCount="59">
  <si>
    <t>Month</t>
  </si>
  <si>
    <t>Department</t>
  </si>
  <si>
    <t>Revenue Budget</t>
  </si>
  <si>
    <t>Revenue Actual</t>
  </si>
  <si>
    <t>Expense Budget</t>
  </si>
  <si>
    <t>Expense Actual</t>
  </si>
  <si>
    <t>Headcount</t>
  </si>
  <si>
    <t>Jan</t>
  </si>
  <si>
    <t>Sales</t>
  </si>
  <si>
    <t>Marketing</t>
  </si>
  <si>
    <t>Operations</t>
  </si>
  <si>
    <t>HR</t>
  </si>
  <si>
    <t>IT</t>
  </si>
  <si>
    <t>Feb</t>
  </si>
  <si>
    <t>Mar</t>
  </si>
  <si>
    <t>Metric</t>
  </si>
  <si>
    <t>Budget</t>
  </si>
  <si>
    <t>Variance</t>
  </si>
  <si>
    <t>Operating Profit</t>
  </si>
  <si>
    <t>Revenue Var %</t>
  </si>
  <si>
    <t xml:space="preserve">Month 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</si>
  <si>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</si>
  <si>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</si>
  <si>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</si>
  <si>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</si>
  <si>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</si>
  <si>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</si>
  <si>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</si>
  <si>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</si>
  <si>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</si>
  <si>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Revenue Actual </t>
  </si>
  <si>
    <t>FP&amp;A analysis</t>
  </si>
  <si>
    <t>OVERALL FP&amp;A METRICS</t>
  </si>
  <si>
    <t>Revenue</t>
  </si>
  <si>
    <t>Expenses</t>
  </si>
  <si>
    <t xml:space="preserve">Actual </t>
  </si>
  <si>
    <t>Variance%</t>
  </si>
  <si>
    <t>VARIANCE INVESTIGATION SECTION</t>
  </si>
  <si>
    <t>Expensne Var%</t>
  </si>
  <si>
    <t>Expense Var ₹</t>
  </si>
  <si>
    <t>Profit Var ₹</t>
  </si>
  <si>
    <t>Profit Var %</t>
  </si>
  <si>
    <t>ACTUAL REVENUE YTD</t>
  </si>
  <si>
    <t>ACTUAL EXPENSE YTD</t>
  </si>
  <si>
    <t>Expense  Actual</t>
  </si>
  <si>
    <t xml:space="preserve">Jan </t>
  </si>
  <si>
    <t xml:space="preserve">Feb </t>
  </si>
  <si>
    <t>Sept</t>
  </si>
  <si>
    <t>Management Insights on both Actual revenue YTD &amp; Actual Expense YTD</t>
  </si>
  <si>
    <t xml:space="preserve">1. Revenue Performance: </t>
  </si>
  <si>
    <t>Actual revenue is ahead of budget overall, indicating positive revenue performance.</t>
  </si>
  <si>
    <t>2. Expense monitoring:</t>
  </si>
  <si>
    <t>3. Profitability:</t>
  </si>
  <si>
    <t>Operating profit provides a combined view of revenue and expense performance and highlights whether revenue growth is translating into profitability.</t>
  </si>
  <si>
    <t xml:space="preserve">Actual expensesshould be monitored against the cumulative budget to identify months where spending is accelerating. </t>
  </si>
  <si>
    <t>4. Variance Focus:</t>
  </si>
  <si>
    <t>Months with negative revenue variance require management attention to understand the underlying business drivers.</t>
  </si>
  <si>
    <t>5. YTD perspective:</t>
  </si>
  <si>
    <t xml:space="preserve">YTD revenue and expense allow management to assess cumulative performance rather than relying on individual monthly fluctuations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</si>
</sst>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6" formatCode="&quot;₹&quot;\ #,##0;[Red]&quot;₹&quot;\ \-#,##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scheme val="minor"/>
    </font>
    <font>
      <sz val="11"/>
      <name val="Calibri"/>
    </font>
    <font>
      <b/>
      <sz val="16"/>
      <color theme="1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10" fontId="0" fillId="0" borderId="0" xfId="0" applyNumberFormat="1"/>
    <xf numFmtId="0" fontId="1" fillId="0" borderId="0" xfId="0" applyFont="1"/>
    <xf numFmtId="0" fontId="4" fillId="0" borderId="0" xfId="1" applyFont="1"/>
    <xf numFmtId="0" fontId="2" fillId="0" borderId="0" xfId="1" applyFont="1"/>
    <xf numFmtId="3" fontId="2" fillId="0" borderId="0" xfId="1" applyNumberFormat="1" applyFont="1"/>
    <xf numFmtId="0" fontId="3" fillId="0" borderId="0" xfId="1"/>
    <xf numFmtId="3" fontId="4" fillId="0" borderId="0" xfId="1" applyNumberFormat="1" applyFont="1"/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/>
    <xf numFmtId="6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6" fontId="6" fillId="0" borderId="0" xfId="0" applyNumberFormat="1" applyFont="1" applyAlignment="1">
      <alignment vertical="center"/>
    </xf>
    <xf numFmtId="6" fontId="1" fillId="0" borderId="0" xfId="0" applyNumberFormat="1" applyFont="1"/>
    <xf numFmtId="10" fontId="1" fillId="0" borderId="0" xfId="0" applyNumberFormat="1" applyFont="1"/>
    <xf numFmtId="6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6" fontId="0" fillId="0" borderId="0" xfId="0" applyNumberFormat="1" applyFont="1" applyAlignment="1">
      <alignment vertical="center" wrapText="1"/>
    </xf>
    <xf numFmtId="10" fontId="0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EAD9947-668B-44BA-A02B-94499F66DE20}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" formatCode="#,##0"/>
    </dxf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none"/>
      </fill>
    </dxf>
  </dxfs>
  <tableStyles count="1" defaultTableStyle="TableStyleMedium9" defaultPivotStyle="PivotStyleLight16">
    <tableStyle name="Raw Data-style" pivot="0" count="3" xr9:uid="{94ADFA6E-EE8E-4EFE-B05B-586E32045ED4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Performance Vs Budget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</c:f>
              <c:strCache>
                <c:ptCount val="1"/>
                <c:pt idx="0">
                  <c:v>Revenue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Dashboard!$B$5:$B$16</c:f>
              <c:numCache>
                <c:formatCode>"₹"#,##0_);[Red]\("₹"#,##0\)</c:formatCode>
                <c:ptCount val="12"/>
                <c:pt idx="0">
                  <c:v>750000</c:v>
                </c:pt>
                <c:pt idx="1">
                  <c:v>780000</c:v>
                </c:pt>
                <c:pt idx="2">
                  <c:v>810000</c:v>
                </c:pt>
                <c:pt idx="3">
                  <c:v>840000</c:v>
                </c:pt>
                <c:pt idx="4">
                  <c:v>865000</c:v>
                </c:pt>
                <c:pt idx="5">
                  <c:v>890000</c:v>
                </c:pt>
                <c:pt idx="6">
                  <c:v>915000</c:v>
                </c:pt>
                <c:pt idx="7">
                  <c:v>940000</c:v>
                </c:pt>
                <c:pt idx="8">
                  <c:v>965000</c:v>
                </c:pt>
                <c:pt idx="9">
                  <c:v>990000</c:v>
                </c:pt>
                <c:pt idx="10">
                  <c:v>1020000</c:v>
                </c:pt>
                <c:pt idx="11">
                  <c:v>1050000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6D-4956-A603-DE1515B09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1584224"/>
        <c:axId val="1921580384"/>
      </c:barChart>
      <c:lineChart>
        <c:grouping val="standard"/>
        <c:varyColors val="0"/>
        <c:ser>
          <c:idx val="1"/>
          <c:order val="1"/>
          <c:tx>
            <c:strRef>
              <c:f>Dashboard!$C$4</c:f>
              <c:strCache>
                <c:ptCount val="1"/>
                <c:pt idx="0">
                  <c:v>Revenue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Dashboard!$C$5:$C$16</c:f>
              <c:numCache>
                <c:formatCode>"₹"#,##0_);[Red]\("₹"#,##0\)</c:formatCode>
                <c:ptCount val="12"/>
                <c:pt idx="0">
                  <c:v>775000</c:v>
                </c:pt>
                <c:pt idx="1">
                  <c:v>805000</c:v>
                </c:pt>
                <c:pt idx="2">
                  <c:v>841000</c:v>
                </c:pt>
                <c:pt idx="3">
                  <c:v>857000</c:v>
                </c:pt>
                <c:pt idx="4">
                  <c:v>883000</c:v>
                </c:pt>
                <c:pt idx="5">
                  <c:v>913000</c:v>
                </c:pt>
                <c:pt idx="6">
                  <c:v>910000</c:v>
                </c:pt>
                <c:pt idx="7">
                  <c:v>962000</c:v>
                </c:pt>
                <c:pt idx="8">
                  <c:v>981000</c:v>
                </c:pt>
                <c:pt idx="9">
                  <c:v>1018000</c:v>
                </c:pt>
                <c:pt idx="10">
                  <c:v>1016000</c:v>
                </c:pt>
                <c:pt idx="11">
                  <c:v>1092000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6D-4956-A603-DE1515B09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1584224"/>
        <c:axId val="1921580384"/>
      </c:lineChart>
      <c:catAx>
        <c:axId val="192158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580384"/>
        <c:crosses val="autoZero"/>
        <c:auto val="1"/>
        <c:lblAlgn val="ctr"/>
        <c:lblOffset val="100"/>
        <c:noMultiLvlLbl val="0"/>
      </c:catAx>
      <c:valAx>
        <c:axId val="192158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58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Expense</a:t>
            </a:r>
            <a:r>
              <a:rPr lang="en-IN" baseline="0"/>
              <a:t> Performance Vs Budget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Dashboard!$B$20</c:f>
              <c:strCache>
                <c:ptCount val="1"/>
                <c:pt idx="0">
                  <c:v>Expense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Dashboard!$A$21:$A$32</c:f>
              <c:strCache>
                <c:ptCount val="12"/>
                <c:pt idx="0">
                  <c:v>Jan </c:v>
                </c:pt>
                <c:pt idx="1">
                  <c:v>Feb 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Dashboard!$B$21:$B$32</c:f>
              <c:numCache>
                <c:formatCode>"₹"#,##0_);[Red]\("₹"#,##0\)</c:formatCode>
                <c:ptCount val="12"/>
                <c:pt idx="0">
                  <c:v>440000</c:v>
                </c:pt>
                <c:pt idx="1">
                  <c:v>517000</c:v>
                </c:pt>
                <c:pt idx="2">
                  <c:v>529000</c:v>
                </c:pt>
                <c:pt idx="3">
                  <c:v>539000</c:v>
                </c:pt>
                <c:pt idx="4">
                  <c:v>547000</c:v>
                </c:pt>
                <c:pt idx="5">
                  <c:v>556000</c:v>
                </c:pt>
                <c:pt idx="6">
                  <c:v>566000</c:v>
                </c:pt>
                <c:pt idx="7">
                  <c:v>577000</c:v>
                </c:pt>
                <c:pt idx="8">
                  <c:v>586000</c:v>
                </c:pt>
                <c:pt idx="9">
                  <c:v>596000</c:v>
                </c:pt>
                <c:pt idx="10">
                  <c:v>607000</c:v>
                </c:pt>
                <c:pt idx="11">
                  <c:v>621000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7-42A4-9D1B-A1043E08A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880104"/>
        <c:axId val="314876168"/>
      </c:barChart>
      <c:lineChart>
        <c:grouping val="standard"/>
        <c:varyColors val="0"/>
        <c:ser>
          <c:idx val="1"/>
          <c:order val="1"/>
          <c:tx>
            <c:strRef>
              <c:f>Dashboard!$C$20</c:f>
              <c:strCache>
                <c:ptCount val="1"/>
                <c:pt idx="0">
                  <c:v>Expense 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Dashboard!$A$21:$A$32</c:f>
              <c:strCache>
                <c:ptCount val="12"/>
                <c:pt idx="0">
                  <c:v>Jan </c:v>
                </c:pt>
                <c:pt idx="1">
                  <c:v>Feb 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Dashboard!$C$21:$C$32</c:f>
              <c:numCache>
                <c:formatCode>"₹"#,##0_);[Red]\("₹"#,##0\)</c:formatCode>
                <c:ptCount val="12"/>
                <c:pt idx="0">
                  <c:v>447000</c:v>
                </c:pt>
                <c:pt idx="1">
                  <c:v>528000</c:v>
                </c:pt>
                <c:pt idx="2">
                  <c:v>543000</c:v>
                </c:pt>
                <c:pt idx="3">
                  <c:v>537000</c:v>
                </c:pt>
                <c:pt idx="4">
                  <c:v>552000</c:v>
                </c:pt>
                <c:pt idx="5">
                  <c:v>559000</c:v>
                </c:pt>
                <c:pt idx="6">
                  <c:v>569000</c:v>
                </c:pt>
                <c:pt idx="7">
                  <c:v>577000</c:v>
                </c:pt>
                <c:pt idx="8">
                  <c:v>587000</c:v>
                </c:pt>
                <c:pt idx="9">
                  <c:v>596000</c:v>
                </c:pt>
                <c:pt idx="10">
                  <c:v>609000</c:v>
                </c:pt>
                <c:pt idx="11">
                  <c:v>621000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97-42A4-9D1B-A1043E08A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880104"/>
        <c:axId val="314876168"/>
      </c:lineChart>
      <c:catAx>
        <c:axId val="314880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876168"/>
        <c:auto val="1"/>
        <c:lblAlgn val="ctr"/>
        <c:lblOffset val="100"/>
        <c:noMultiLvlLbl val="0"/>
      </c:catAx>
      <c:valAx>
        <c:axId val="314876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880104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320675</xdr:colOff>
      <xdr:row>3</xdr:row>
      <xdr:rowOff>6350</xdr:rowOff>
    </xdr:from>
    <xdr:to>
      <xdr:col>11</xdr:col>
      <xdr:colOff>9621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8B5F2D-0391-B75A-B08E-C5936DC41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317501</xdr:colOff>
      <xdr:row>19</xdr:row>
      <xdr:rowOff>0</xdr:rowOff>
    </xdr:from>
    <xdr:to>
      <xdr:col>11</xdr:col>
      <xdr:colOff>10949</xdr:colOff>
      <xdr:row>32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2DBA2C-0340-47FD-BB7D-5030E6C7E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EADB5C-565B-4CA8-AC88-E05A6ACFE517}" name="Table1" displayName="Table1" ref="A1:G1048576" totalsRowShown="0" headerRowDxfId="0" headerRowCellStyle="Normal 2">
  <autoFilter ref="A1:G1048576" xr:uid="{51EADB5C-565B-4CA8-AC88-E05A6ACFE517}"/>
  <tableColumns count="7">
    <tableColumn id="1" xr3:uid="{BC2E18E1-B161-4C79-93DF-C223730432F0}" name="Month"/>
    <tableColumn id="3" xr3:uid="{C567F2B7-C5E7-41A7-8A91-B248C3695138}" name="Department"/>
    <tableColumn id="4" xr3:uid="{7D1A1DB2-EFF3-4177-9639-79C1CAA73F8E}" name="Revenue Budget"/>
    <tableColumn id="5" xr3:uid="{CA7FD5FF-796F-4AE2-99FA-315CF26CA0E1}" name="Revenue Actual "/>
    <tableColumn id="6" xr3:uid="{47B74335-7515-40EB-9D16-AE69E7802E02}" name="Expense Budget"/>
    <tableColumn id="7" xr3:uid="{C6C23665-86B6-44DD-9307-13A17FD3549E}" name="Expense Actual"/>
    <tableColumn id="8" xr3:uid="{87DAC05A-B672-4D89-AC6D-1345B160F783}" name="Head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zoomScale="95" zoomScaleNormal="95" workbookViewId="0">
      <pane ySplit="1" topLeftCell="A2" activePane="bottomLeft" state="frozen"/>
      <selection pane="bottomLeft" activeCell="E2" sqref="E2"/>
    </sheetView>
  </sheetViews>
  <sheetFormatPr defaultRowHeight="15"/>
  <cols>
    <col min="1" max="1" width="12" customWidth="1"/>
    <col min="2" max="5" width="18" customWidth="1"/>
    <col min="6" max="6" width="20.140625" customWidth="1"/>
    <col min="7" max="7" width="12.42578125" customWidth="1"/>
  </cols>
  <sheetData>
    <row r="1" spans="1:7">
      <c r="A1" s="4" t="s">
        <v>0</v>
      </c>
      <c r="B1" s="4" t="s">
        <v>1</v>
      </c>
      <c r="C1" s="5" t="s">
        <v>2</v>
      </c>
      <c r="D1" s="5" t="s">
        <v>30</v>
      </c>
      <c r="E1" s="5" t="s">
        <v>4</v>
      </c>
      <c r="F1" s="5" t="s">
        <v>5</v>
      </c>
      <c r="G1" s="5" t="s">
        <v>6</v>
      </c>
    </row>
    <row r="2" spans="1:7">
      <c r="A2" s="4" t="s">
        <v>7</v>
      </c>
      <c r="B2" s="3" t="s">
        <v>8</v>
      </c>
      <c r="C2" s="7">
        <v>500000</v>
      </c>
      <c r="D2" s="7">
        <v>525000</v>
      </c>
      <c r="E2" s="7">
        <v>120000</v>
      </c>
      <c r="F2" s="7">
        <v>118000</v>
      </c>
      <c r="G2" s="3">
        <v>25</v>
      </c>
    </row>
    <row r="3" spans="1:7">
      <c r="A3" s="3" t="s">
        <v>7</v>
      </c>
      <c r="B3" s="3" t="s">
        <v>9</v>
      </c>
      <c r="C3" s="7">
        <v>100000</v>
      </c>
      <c r="D3" s="7">
        <v>95000</v>
      </c>
      <c r="E3" s="7">
        <v>80000</v>
      </c>
      <c r="F3" s="7">
        <v>92000</v>
      </c>
      <c r="G3" s="3">
        <v>12</v>
      </c>
    </row>
    <row r="4" spans="1:7">
      <c r="A4" s="3" t="s">
        <v>7</v>
      </c>
      <c r="B4" s="3" t="s">
        <v>10</v>
      </c>
      <c r="C4" s="7">
        <v>150000</v>
      </c>
      <c r="D4" s="7">
        <v>155000</v>
      </c>
      <c r="E4" s="7">
        <v>180000</v>
      </c>
      <c r="F4" s="7">
        <v>175000</v>
      </c>
      <c r="G4" s="3">
        <v>30</v>
      </c>
    </row>
    <row r="5" spans="1:7">
      <c r="A5" s="3" t="s">
        <v>7</v>
      </c>
      <c r="B5" s="3" t="s">
        <v>11</v>
      </c>
      <c r="C5" s="7">
        <v>0</v>
      </c>
      <c r="D5" s="7">
        <v>0</v>
      </c>
      <c r="E5" s="7">
        <v>60000</v>
      </c>
      <c r="F5" s="7">
        <v>62000</v>
      </c>
      <c r="G5" s="3">
        <v>8</v>
      </c>
    </row>
    <row r="6" spans="1:7">
      <c r="A6" s="3" t="s">
        <v>13</v>
      </c>
      <c r="B6" s="3" t="s">
        <v>12</v>
      </c>
      <c r="C6" s="7">
        <v>0</v>
      </c>
      <c r="D6" s="7">
        <v>0</v>
      </c>
      <c r="E6" s="7">
        <v>70000</v>
      </c>
      <c r="F6" s="7">
        <v>68000</v>
      </c>
      <c r="G6" s="3">
        <v>10</v>
      </c>
    </row>
    <row r="7" spans="1:7">
      <c r="A7" s="3" t="s">
        <v>13</v>
      </c>
      <c r="B7" s="3" t="s">
        <v>8</v>
      </c>
      <c r="C7" s="7">
        <v>520000</v>
      </c>
      <c r="D7" s="7">
        <v>535000</v>
      </c>
      <c r="E7" s="7">
        <v>122000</v>
      </c>
      <c r="F7" s="7">
        <v>125000</v>
      </c>
      <c r="G7" s="3">
        <v>25</v>
      </c>
    </row>
    <row r="8" spans="1:7">
      <c r="A8" s="3" t="s">
        <v>13</v>
      </c>
      <c r="B8" s="3" t="s">
        <v>9</v>
      </c>
      <c r="C8" s="7">
        <v>105000</v>
      </c>
      <c r="D8" s="7">
        <v>110000</v>
      </c>
      <c r="E8" s="7">
        <v>82000</v>
      </c>
      <c r="F8" s="7">
        <v>85000</v>
      </c>
      <c r="G8" s="3">
        <v>12</v>
      </c>
    </row>
    <row r="9" spans="1:7">
      <c r="A9" s="3" t="s">
        <v>13</v>
      </c>
      <c r="B9" s="3" t="s">
        <v>10</v>
      </c>
      <c r="C9" s="7">
        <v>155000</v>
      </c>
      <c r="D9" s="7">
        <v>160000</v>
      </c>
      <c r="E9" s="7">
        <v>182000</v>
      </c>
      <c r="F9" s="7">
        <v>190000</v>
      </c>
      <c r="G9" s="3">
        <v>30</v>
      </c>
    </row>
    <row r="10" spans="1:7">
      <c r="A10" s="3" t="s">
        <v>13</v>
      </c>
      <c r="B10" s="3" t="s">
        <v>11</v>
      </c>
      <c r="C10" s="7">
        <v>0</v>
      </c>
      <c r="D10" s="7">
        <v>0</v>
      </c>
      <c r="E10" s="7">
        <v>61000</v>
      </c>
      <c r="F10" s="7">
        <v>60000</v>
      </c>
      <c r="G10" s="3">
        <v>8</v>
      </c>
    </row>
    <row r="11" spans="1:7">
      <c r="A11" s="3" t="s">
        <v>14</v>
      </c>
      <c r="B11" s="3" t="s">
        <v>12</v>
      </c>
      <c r="C11" s="7">
        <v>0</v>
      </c>
      <c r="D11" s="7">
        <v>0</v>
      </c>
      <c r="E11" s="7">
        <v>72000</v>
      </c>
      <c r="F11" s="7">
        <v>75000</v>
      </c>
      <c r="G11" s="3">
        <v>10</v>
      </c>
    </row>
    <row r="12" spans="1:7">
      <c r="A12" s="3" t="s">
        <v>14</v>
      </c>
      <c r="B12" s="3" t="s">
        <v>8</v>
      </c>
      <c r="C12" s="7">
        <v>540000</v>
      </c>
      <c r="D12" s="7">
        <v>565000</v>
      </c>
      <c r="E12" s="7">
        <v>125000</v>
      </c>
      <c r="F12" s="7">
        <v>127000</v>
      </c>
      <c r="G12" s="3">
        <v>26</v>
      </c>
    </row>
    <row r="13" spans="1:7">
      <c r="A13" s="3" t="s">
        <v>14</v>
      </c>
      <c r="B13" s="3" t="s">
        <v>9</v>
      </c>
      <c r="C13" s="7">
        <v>110000</v>
      </c>
      <c r="D13" s="7">
        <v>118000</v>
      </c>
      <c r="E13" s="7">
        <v>85000</v>
      </c>
      <c r="F13" s="7">
        <v>88000</v>
      </c>
      <c r="G13" s="3">
        <v>12</v>
      </c>
    </row>
    <row r="14" spans="1:7">
      <c r="A14" s="3" t="s">
        <v>14</v>
      </c>
      <c r="B14" s="3" t="s">
        <v>10</v>
      </c>
      <c r="C14" s="7">
        <v>160000</v>
      </c>
      <c r="D14" s="7">
        <v>158000</v>
      </c>
      <c r="E14" s="7">
        <v>185000</v>
      </c>
      <c r="F14" s="7">
        <v>188000</v>
      </c>
      <c r="G14" s="3">
        <v>31</v>
      </c>
    </row>
    <row r="15" spans="1:7">
      <c r="A15" s="3" t="s">
        <v>14</v>
      </c>
      <c r="B15" s="3" t="s">
        <v>11</v>
      </c>
      <c r="C15" s="7">
        <v>0</v>
      </c>
      <c r="D15" s="7">
        <v>0</v>
      </c>
      <c r="E15" s="7">
        <v>62000</v>
      </c>
      <c r="F15" s="7">
        <v>65000</v>
      </c>
      <c r="G15" s="3">
        <v>8</v>
      </c>
    </row>
    <row r="16" spans="1:7">
      <c r="A16" s="3" t="s">
        <v>21</v>
      </c>
      <c r="B16" s="3" t="s">
        <v>12</v>
      </c>
      <c r="C16" s="7">
        <v>0</v>
      </c>
      <c r="D16" s="7">
        <v>0</v>
      </c>
      <c r="E16" s="7">
        <v>73000</v>
      </c>
      <c r="F16" s="7">
        <v>72000</v>
      </c>
      <c r="G16" s="3">
        <v>10</v>
      </c>
    </row>
    <row r="17" spans="1:7">
      <c r="A17" s="3" t="s">
        <v>21</v>
      </c>
      <c r="B17" s="3" t="s">
        <v>8</v>
      </c>
      <c r="C17" s="7">
        <v>560000</v>
      </c>
      <c r="D17" s="7">
        <v>575000</v>
      </c>
      <c r="E17" s="7">
        <v>128000</v>
      </c>
      <c r="F17" s="7">
        <v>126000</v>
      </c>
      <c r="G17" s="3">
        <v>26</v>
      </c>
    </row>
    <row r="18" spans="1:7">
      <c r="A18" s="3" t="s">
        <v>21</v>
      </c>
      <c r="B18" s="3" t="s">
        <v>9</v>
      </c>
      <c r="C18" s="7">
        <v>115000</v>
      </c>
      <c r="D18" s="7">
        <v>112000</v>
      </c>
      <c r="E18" s="7">
        <v>87000</v>
      </c>
      <c r="F18" s="7">
        <v>90000</v>
      </c>
      <c r="G18" s="3">
        <v>13</v>
      </c>
    </row>
    <row r="19" spans="1:7">
      <c r="A19" s="3" t="s">
        <v>21</v>
      </c>
      <c r="B19" s="3" t="s">
        <v>10</v>
      </c>
      <c r="C19" s="7">
        <v>165000</v>
      </c>
      <c r="D19" s="7">
        <v>170000</v>
      </c>
      <c r="E19" s="7">
        <v>188000</v>
      </c>
      <c r="F19" s="7">
        <v>185000</v>
      </c>
      <c r="G19" s="3">
        <v>31</v>
      </c>
    </row>
    <row r="20" spans="1:7">
      <c r="A20" s="3" t="s">
        <v>21</v>
      </c>
      <c r="B20" s="3" t="s">
        <v>11</v>
      </c>
      <c r="C20" s="7">
        <v>0</v>
      </c>
      <c r="D20" s="7">
        <v>0</v>
      </c>
      <c r="E20" s="7">
        <v>63000</v>
      </c>
      <c r="F20" s="7">
        <v>64000</v>
      </c>
      <c r="G20" s="3">
        <v>8</v>
      </c>
    </row>
    <row r="21" spans="1:7">
      <c r="A21" s="3" t="s">
        <v>22</v>
      </c>
      <c r="B21" s="3" t="s">
        <v>12</v>
      </c>
      <c r="C21" s="7">
        <v>0</v>
      </c>
      <c r="D21" s="7">
        <v>0</v>
      </c>
      <c r="E21" s="7">
        <v>74000</v>
      </c>
      <c r="F21" s="7">
        <v>73000</v>
      </c>
      <c r="G21" s="3">
        <v>10</v>
      </c>
    </row>
    <row r="22" spans="1:7">
      <c r="A22" s="3" t="s">
        <v>22</v>
      </c>
      <c r="B22" s="3" t="s">
        <v>8</v>
      </c>
      <c r="C22" s="7">
        <v>575000</v>
      </c>
      <c r="D22" s="7">
        <v>590000</v>
      </c>
      <c r="E22" s="7">
        <v>130000</v>
      </c>
      <c r="F22" s="7">
        <v>134000</v>
      </c>
      <c r="G22" s="3">
        <v>26</v>
      </c>
    </row>
    <row r="23" spans="1:7">
      <c r="A23" s="3" t="s">
        <v>22</v>
      </c>
      <c r="B23" s="3" t="s">
        <v>9</v>
      </c>
      <c r="C23" s="7">
        <v>120000</v>
      </c>
      <c r="D23" s="7">
        <v>125000</v>
      </c>
      <c r="E23" s="7">
        <v>89000</v>
      </c>
      <c r="F23" s="7">
        <v>87000</v>
      </c>
      <c r="G23" s="3">
        <v>13</v>
      </c>
    </row>
    <row r="24" spans="1:7">
      <c r="A24" s="3" t="s">
        <v>22</v>
      </c>
      <c r="B24" s="3" t="s">
        <v>10</v>
      </c>
      <c r="C24" s="7">
        <v>170000</v>
      </c>
      <c r="D24" s="7">
        <v>168000</v>
      </c>
      <c r="E24" s="7">
        <v>190000</v>
      </c>
      <c r="F24" s="7">
        <v>194000</v>
      </c>
      <c r="G24" s="3">
        <v>32</v>
      </c>
    </row>
    <row r="25" spans="1:7">
      <c r="A25" s="3" t="s">
        <v>22</v>
      </c>
      <c r="B25" s="3" t="s">
        <v>11</v>
      </c>
      <c r="C25" s="7">
        <v>0</v>
      </c>
      <c r="D25" s="7">
        <v>0</v>
      </c>
      <c r="E25" s="7">
        <v>64000</v>
      </c>
      <c r="F25" s="7">
        <v>62000</v>
      </c>
      <c r="G25" s="3">
        <v>9</v>
      </c>
    </row>
    <row r="26" spans="1:7">
      <c r="A26" s="3" t="s">
        <v>23</v>
      </c>
      <c r="B26" s="3" t="s">
        <v>12</v>
      </c>
      <c r="C26" s="7">
        <v>0</v>
      </c>
      <c r="D26" s="7">
        <v>0</v>
      </c>
      <c r="E26" s="7">
        <v>75000</v>
      </c>
      <c r="F26" s="7">
        <v>78000</v>
      </c>
      <c r="G26" s="3">
        <v>10</v>
      </c>
    </row>
    <row r="27" spans="1:7">
      <c r="A27" s="3" t="s">
        <v>23</v>
      </c>
      <c r="B27" s="3" t="s">
        <v>8</v>
      </c>
      <c r="C27" s="7">
        <v>590000</v>
      </c>
      <c r="D27" s="7">
        <v>610000</v>
      </c>
      <c r="E27" s="7">
        <v>132000</v>
      </c>
      <c r="F27" s="7">
        <v>129000</v>
      </c>
      <c r="G27" s="3">
        <v>27</v>
      </c>
    </row>
    <row r="28" spans="1:7">
      <c r="A28" s="3" t="s">
        <v>23</v>
      </c>
      <c r="B28" s="3" t="s">
        <v>9</v>
      </c>
      <c r="C28" s="7">
        <v>125000</v>
      </c>
      <c r="D28" s="7">
        <v>121000</v>
      </c>
      <c r="E28" s="7">
        <v>91000</v>
      </c>
      <c r="F28" s="7">
        <v>95000</v>
      </c>
      <c r="G28" s="3">
        <v>13</v>
      </c>
    </row>
    <row r="29" spans="1:7">
      <c r="A29" s="3" t="s">
        <v>23</v>
      </c>
      <c r="B29" s="3" t="s">
        <v>10</v>
      </c>
      <c r="C29" s="7">
        <v>175000</v>
      </c>
      <c r="D29" s="7">
        <v>182000</v>
      </c>
      <c r="E29" s="7">
        <v>193000</v>
      </c>
      <c r="F29" s="7">
        <v>190000</v>
      </c>
      <c r="G29" s="3">
        <v>32</v>
      </c>
    </row>
    <row r="30" spans="1:7">
      <c r="A30" s="3" t="s">
        <v>23</v>
      </c>
      <c r="B30" s="3" t="s">
        <v>11</v>
      </c>
      <c r="C30" s="7">
        <v>0</v>
      </c>
      <c r="D30" s="7">
        <v>0</v>
      </c>
      <c r="E30" s="7">
        <v>65000</v>
      </c>
      <c r="F30" s="7">
        <v>67000</v>
      </c>
      <c r="G30" s="3">
        <v>9</v>
      </c>
    </row>
    <row r="31" spans="1:7">
      <c r="A31" s="3" t="s">
        <v>24</v>
      </c>
      <c r="B31" s="3" t="s">
        <v>12</v>
      </c>
      <c r="C31" s="7">
        <v>0</v>
      </c>
      <c r="D31" s="7">
        <v>0</v>
      </c>
      <c r="E31" s="7">
        <v>76000</v>
      </c>
      <c r="F31" s="7">
        <v>74000</v>
      </c>
      <c r="G31" s="3">
        <v>11</v>
      </c>
    </row>
    <row r="32" spans="1:7">
      <c r="A32" s="3" t="s">
        <v>24</v>
      </c>
      <c r="B32" s="3" t="s">
        <v>8</v>
      </c>
      <c r="C32" s="7">
        <v>605000</v>
      </c>
      <c r="D32" s="7">
        <v>598000</v>
      </c>
      <c r="E32" s="7">
        <v>135000</v>
      </c>
      <c r="F32" s="7">
        <v>138000</v>
      </c>
      <c r="G32" s="3">
        <v>27</v>
      </c>
    </row>
    <row r="33" spans="1:7">
      <c r="A33" s="3" t="s">
        <v>24</v>
      </c>
      <c r="B33" s="3" t="s">
        <v>9</v>
      </c>
      <c r="C33" s="7">
        <v>130000</v>
      </c>
      <c r="D33" s="7">
        <v>136000</v>
      </c>
      <c r="E33" s="7">
        <v>93000</v>
      </c>
      <c r="F33" s="7">
        <v>91000</v>
      </c>
      <c r="G33" s="3">
        <v>14</v>
      </c>
    </row>
    <row r="34" spans="1:7">
      <c r="A34" s="3" t="s">
        <v>24</v>
      </c>
      <c r="B34" s="3" t="s">
        <v>10</v>
      </c>
      <c r="C34" s="7">
        <v>180000</v>
      </c>
      <c r="D34" s="7">
        <v>176000</v>
      </c>
      <c r="E34" s="7">
        <v>196000</v>
      </c>
      <c r="F34" s="7">
        <v>201000</v>
      </c>
      <c r="G34" s="3">
        <v>33</v>
      </c>
    </row>
    <row r="35" spans="1:7">
      <c r="A35" s="3" t="s">
        <v>24</v>
      </c>
      <c r="B35" s="3" t="s">
        <v>11</v>
      </c>
      <c r="C35" s="7">
        <v>0</v>
      </c>
      <c r="D35" s="7">
        <v>0</v>
      </c>
      <c r="E35" s="7">
        <v>66000</v>
      </c>
      <c r="F35" s="7">
        <v>65000</v>
      </c>
      <c r="G35" s="3">
        <v>9</v>
      </c>
    </row>
    <row r="36" spans="1:7">
      <c r="A36" s="3" t="s">
        <v>25</v>
      </c>
      <c r="B36" s="3" t="s">
        <v>12</v>
      </c>
      <c r="C36" s="7">
        <v>0</v>
      </c>
      <c r="D36" s="7">
        <v>0</v>
      </c>
      <c r="E36" s="7">
        <v>78000</v>
      </c>
      <c r="F36" s="7">
        <v>80000</v>
      </c>
      <c r="G36" s="3">
        <v>11</v>
      </c>
    </row>
    <row r="37" spans="1:7">
      <c r="A37" s="3" t="s">
        <v>25</v>
      </c>
      <c r="B37" s="3" t="s">
        <v>8</v>
      </c>
      <c r="C37" s="7">
        <v>620000</v>
      </c>
      <c r="D37" s="7">
        <v>640000</v>
      </c>
      <c r="E37" s="7">
        <v>138000</v>
      </c>
      <c r="F37" s="7">
        <v>135000</v>
      </c>
      <c r="G37" s="3">
        <v>27</v>
      </c>
    </row>
    <row r="38" spans="1:7">
      <c r="A38" s="3" t="s">
        <v>25</v>
      </c>
      <c r="B38" s="3" t="s">
        <v>9</v>
      </c>
      <c r="C38" s="7">
        <v>135000</v>
      </c>
      <c r="D38" s="7">
        <v>132000</v>
      </c>
      <c r="E38" s="7">
        <v>95000</v>
      </c>
      <c r="F38" s="7">
        <v>98000</v>
      </c>
      <c r="G38" s="3">
        <v>14</v>
      </c>
    </row>
    <row r="39" spans="1:7">
      <c r="A39" s="3" t="s">
        <v>25</v>
      </c>
      <c r="B39" s="3" t="s">
        <v>10</v>
      </c>
      <c r="C39" s="7">
        <v>185000</v>
      </c>
      <c r="D39" s="7">
        <v>190000</v>
      </c>
      <c r="E39" s="7">
        <v>199000</v>
      </c>
      <c r="F39" s="7">
        <v>195000</v>
      </c>
      <c r="G39" s="3">
        <v>33</v>
      </c>
    </row>
    <row r="40" spans="1:7">
      <c r="A40" s="3" t="s">
        <v>25</v>
      </c>
      <c r="B40" s="3" t="s">
        <v>11</v>
      </c>
      <c r="C40" s="7">
        <v>0</v>
      </c>
      <c r="D40" s="7">
        <v>0</v>
      </c>
      <c r="E40" s="7">
        <v>67000</v>
      </c>
      <c r="F40" s="7">
        <v>69000</v>
      </c>
      <c r="G40" s="3">
        <v>9</v>
      </c>
    </row>
    <row r="41" spans="1:7">
      <c r="A41" s="3" t="s">
        <v>26</v>
      </c>
      <c r="B41" s="3" t="s">
        <v>12</v>
      </c>
      <c r="C41" s="7">
        <v>0</v>
      </c>
      <c r="D41" s="7">
        <v>0</v>
      </c>
      <c r="E41" s="7">
        <v>79000</v>
      </c>
      <c r="F41" s="7">
        <v>77000</v>
      </c>
      <c r="G41" s="3">
        <v>11</v>
      </c>
    </row>
    <row r="42" spans="1:7">
      <c r="A42" s="3" t="s">
        <v>26</v>
      </c>
      <c r="B42" s="3" t="s">
        <v>8</v>
      </c>
      <c r="C42" s="7">
        <v>635000</v>
      </c>
      <c r="D42" s="7">
        <v>650000</v>
      </c>
      <c r="E42" s="7">
        <v>140000</v>
      </c>
      <c r="F42" s="7">
        <v>143000</v>
      </c>
      <c r="G42" s="3">
        <v>28</v>
      </c>
    </row>
    <row r="43" spans="1:7">
      <c r="A43" s="3" t="s">
        <v>26</v>
      </c>
      <c r="B43" s="3" t="s">
        <v>9</v>
      </c>
      <c r="C43" s="7">
        <v>140000</v>
      </c>
      <c r="D43" s="7">
        <v>145000</v>
      </c>
      <c r="E43" s="7">
        <v>97000</v>
      </c>
      <c r="F43" s="7">
        <v>94000</v>
      </c>
      <c r="G43" s="3">
        <v>14</v>
      </c>
    </row>
    <row r="44" spans="1:7">
      <c r="A44" s="3" t="s">
        <v>26</v>
      </c>
      <c r="B44" s="3" t="s">
        <v>10</v>
      </c>
      <c r="C44" s="7">
        <v>190000</v>
      </c>
      <c r="D44" s="7">
        <v>186000</v>
      </c>
      <c r="E44" s="7">
        <v>202000</v>
      </c>
      <c r="F44" s="7">
        <v>206000</v>
      </c>
      <c r="G44" s="3">
        <v>34</v>
      </c>
    </row>
    <row r="45" spans="1:7">
      <c r="A45" s="3" t="s">
        <v>26</v>
      </c>
      <c r="B45" s="3" t="s">
        <v>11</v>
      </c>
      <c r="C45" s="7">
        <v>0</v>
      </c>
      <c r="D45" s="7">
        <v>0</v>
      </c>
      <c r="E45" s="7">
        <v>68000</v>
      </c>
      <c r="F45" s="7">
        <v>67000</v>
      </c>
      <c r="G45" s="3">
        <v>9</v>
      </c>
    </row>
    <row r="46" spans="1:7">
      <c r="A46" s="3" t="s">
        <v>27</v>
      </c>
      <c r="B46" s="3" t="s">
        <v>12</v>
      </c>
      <c r="C46" s="7">
        <v>0</v>
      </c>
      <c r="D46" s="7">
        <v>0</v>
      </c>
      <c r="E46" s="7">
        <v>80000</v>
      </c>
      <c r="F46" s="7">
        <v>82000</v>
      </c>
      <c r="G46" s="3">
        <v>12</v>
      </c>
    </row>
    <row r="47" spans="1:7">
      <c r="A47" s="3" t="s">
        <v>27</v>
      </c>
      <c r="B47" s="3" t="s">
        <v>8</v>
      </c>
      <c r="C47" s="7">
        <v>650000</v>
      </c>
      <c r="D47" s="7">
        <v>675000</v>
      </c>
      <c r="E47" s="7">
        <v>143000</v>
      </c>
      <c r="F47" s="7">
        <v>140000</v>
      </c>
      <c r="G47" s="3">
        <v>28</v>
      </c>
    </row>
    <row r="48" spans="1:7">
      <c r="A48" s="3" t="s">
        <v>27</v>
      </c>
      <c r="B48" s="3" t="s">
        <v>9</v>
      </c>
      <c r="C48" s="7">
        <v>145000</v>
      </c>
      <c r="D48" s="7">
        <v>141000</v>
      </c>
      <c r="E48" s="7">
        <v>99000</v>
      </c>
      <c r="F48" s="7">
        <v>103000</v>
      </c>
      <c r="G48" s="3">
        <v>15</v>
      </c>
    </row>
    <row r="49" spans="1:7">
      <c r="A49" s="3" t="s">
        <v>27</v>
      </c>
      <c r="B49" s="3" t="s">
        <v>10</v>
      </c>
      <c r="C49" s="7">
        <v>195000</v>
      </c>
      <c r="D49" s="7">
        <v>202000</v>
      </c>
      <c r="E49" s="7">
        <v>205000</v>
      </c>
      <c r="F49" s="7">
        <v>200000</v>
      </c>
      <c r="G49" s="3">
        <v>34</v>
      </c>
    </row>
    <row r="50" spans="1:7">
      <c r="A50" s="3" t="s">
        <v>27</v>
      </c>
      <c r="B50" s="3" t="s">
        <v>11</v>
      </c>
      <c r="C50" s="7">
        <v>0</v>
      </c>
      <c r="D50" s="7">
        <v>0</v>
      </c>
      <c r="E50" s="7">
        <v>69000</v>
      </c>
      <c r="F50" s="7">
        <v>71000</v>
      </c>
      <c r="G50" s="3">
        <v>10</v>
      </c>
    </row>
    <row r="51" spans="1:7">
      <c r="A51" s="3" t="s">
        <v>28</v>
      </c>
      <c r="B51" s="3" t="s">
        <v>12</v>
      </c>
      <c r="C51" s="7">
        <v>0</v>
      </c>
      <c r="D51" s="7">
        <v>0</v>
      </c>
      <c r="E51" s="7">
        <v>82000</v>
      </c>
      <c r="F51" s="7">
        <v>79000</v>
      </c>
      <c r="G51" s="3">
        <v>12</v>
      </c>
    </row>
    <row r="52" spans="1:7">
      <c r="A52" s="3" t="s">
        <v>28</v>
      </c>
      <c r="B52" s="3" t="s">
        <v>8</v>
      </c>
      <c r="C52" s="7">
        <v>670000</v>
      </c>
      <c r="D52" s="7">
        <v>665000</v>
      </c>
      <c r="E52" s="7">
        <v>146000</v>
      </c>
      <c r="F52" s="7">
        <v>151000</v>
      </c>
      <c r="G52" s="3">
        <v>29</v>
      </c>
    </row>
    <row r="53" spans="1:7">
      <c r="A53" s="3" t="s">
        <v>28</v>
      </c>
      <c r="B53" s="3" t="s">
        <v>9</v>
      </c>
      <c r="C53" s="7">
        <v>150000</v>
      </c>
      <c r="D53" s="7">
        <v>155000</v>
      </c>
      <c r="E53" s="7">
        <v>101000</v>
      </c>
      <c r="F53" s="7">
        <v>99000</v>
      </c>
      <c r="G53" s="3">
        <v>15</v>
      </c>
    </row>
    <row r="54" spans="1:7">
      <c r="A54" s="3" t="s">
        <v>28</v>
      </c>
      <c r="B54" s="3" t="s">
        <v>10</v>
      </c>
      <c r="C54" s="7">
        <v>200000</v>
      </c>
      <c r="D54" s="7">
        <v>196000</v>
      </c>
      <c r="E54" s="7">
        <v>208000</v>
      </c>
      <c r="F54" s="7">
        <v>212000</v>
      </c>
      <c r="G54" s="3">
        <v>35</v>
      </c>
    </row>
    <row r="55" spans="1:7">
      <c r="A55" s="3" t="s">
        <v>28</v>
      </c>
      <c r="B55" s="3" t="s">
        <v>11</v>
      </c>
      <c r="C55" s="7">
        <v>0</v>
      </c>
      <c r="D55" s="7">
        <v>0</v>
      </c>
      <c r="E55" s="7">
        <v>70000</v>
      </c>
      <c r="F55" s="7">
        <v>68000</v>
      </c>
      <c r="G55" s="3">
        <v>10</v>
      </c>
    </row>
    <row r="56" spans="1:7">
      <c r="A56" s="3" t="s">
        <v>29</v>
      </c>
      <c r="B56" s="3" t="s">
        <v>12</v>
      </c>
      <c r="C56" s="7">
        <v>0</v>
      </c>
      <c r="D56" s="7">
        <v>0</v>
      </c>
      <c r="E56" s="7">
        <v>84000</v>
      </c>
      <c r="F56" s="7">
        <v>86000</v>
      </c>
      <c r="G56" s="3">
        <v>12</v>
      </c>
    </row>
    <row r="57" spans="1:7">
      <c r="A57" s="3" t="s">
        <v>29</v>
      </c>
      <c r="B57" s="3" t="s">
        <v>8</v>
      </c>
      <c r="C57" s="7">
        <v>690000</v>
      </c>
      <c r="D57" s="7">
        <v>720000</v>
      </c>
      <c r="E57" s="7">
        <v>150000</v>
      </c>
      <c r="F57" s="7">
        <v>147000</v>
      </c>
      <c r="G57" s="3">
        <v>29</v>
      </c>
    </row>
    <row r="58" spans="1:7">
      <c r="A58" s="3" t="s">
        <v>29</v>
      </c>
      <c r="B58" s="3" t="s">
        <v>9</v>
      </c>
      <c r="C58" s="7">
        <v>155000</v>
      </c>
      <c r="D58" s="7">
        <v>160000</v>
      </c>
      <c r="E58" s="7">
        <v>103000</v>
      </c>
      <c r="F58" s="7">
        <v>106000</v>
      </c>
      <c r="G58" s="3">
        <v>16</v>
      </c>
    </row>
    <row r="59" spans="1:7">
      <c r="A59" s="3" t="s">
        <v>29</v>
      </c>
      <c r="B59" s="3" t="s">
        <v>10</v>
      </c>
      <c r="C59" s="7">
        <v>205000</v>
      </c>
      <c r="D59" s="7">
        <v>212000</v>
      </c>
      <c r="E59" s="7">
        <v>212000</v>
      </c>
      <c r="F59" s="7">
        <v>208000</v>
      </c>
      <c r="G59" s="3">
        <v>35</v>
      </c>
    </row>
    <row r="60" spans="1:7">
      <c r="A60" s="3" t="s">
        <v>29</v>
      </c>
      <c r="B60" s="3" t="s">
        <v>11</v>
      </c>
      <c r="C60" s="7">
        <v>0</v>
      </c>
      <c r="D60" s="7">
        <v>0</v>
      </c>
      <c r="E60" s="7">
        <v>72000</v>
      </c>
      <c r="F60" s="7">
        <v>74000</v>
      </c>
      <c r="G60" s="3">
        <v>10</v>
      </c>
    </row>
    <row r="61" spans="1:7">
      <c r="B61" s="3" t="s">
        <v>12</v>
      </c>
      <c r="C61" s="7">
        <v>0</v>
      </c>
      <c r="D61" s="7">
        <v>0</v>
      </c>
      <c r="E61" s="7">
        <v>85000</v>
      </c>
      <c r="F61" s="7">
        <v>83000</v>
      </c>
      <c r="G61" s="3">
        <v>13</v>
      </c>
    </row>
    <row r="62" spans="1:7">
      <c r="B62" s="6"/>
      <c r="C62" s="6"/>
      <c r="D62" s="6"/>
      <c r="E62" s="6"/>
      <c r="F62" s="6"/>
      <c r="G62" s="6"/>
    </row>
    <row r="63" spans="1:7">
      <c r="B63" s="6"/>
      <c r="C63" s="6"/>
      <c r="D63" s="6"/>
      <c r="E63" s="6"/>
      <c r="F63" s="6"/>
      <c r="G63" s="6"/>
    </row>
    <row r="64" spans="1:7">
      <c r="B64" s="6"/>
      <c r="C64" s="6"/>
      <c r="D64" s="6"/>
      <c r="E64" s="6"/>
      <c r="F64" s="6"/>
      <c r="G64" s="6"/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1C46-4BD1-4D43-A8E3-52CB0C303731}">
  <dimension ref="A1:G256"/>
  <sheetViews>
    <sheetView zoomScaleNormal="100" workbookViewId="0">
      <selection activeCell="E31" sqref="E31"/>
    </sheetView>
  </sheetViews>
  <sheetFormatPr defaultRowHeight="15"/>
  <cols>
    <col min="1" max="1" width="11.5703125" customWidth="1"/>
    <col min="2" max="2" width="17.85546875" customWidth="1"/>
    <col min="3" max="3" width="15.5703125" customWidth="1"/>
    <col min="4" max="4" width="13.140625" customWidth="1"/>
    <col min="5" max="5" width="15.140625" customWidth="1"/>
    <col min="6" max="6" width="13.28515625" customWidth="1"/>
    <col min="7" max="7" width="17.140625" customWidth="1"/>
  </cols>
  <sheetData>
    <row r="1" spans="1:7" ht="21">
      <c r="A1" s="8" t="s">
        <v>31</v>
      </c>
    </row>
    <row r="3" spans="1:7" ht="30">
      <c r="A3" s="27" t="s">
        <v>0</v>
      </c>
      <c r="B3" s="27" t="s">
        <v>2</v>
      </c>
      <c r="C3" s="27" t="s">
        <v>3</v>
      </c>
      <c r="D3" s="27" t="s">
        <v>19</v>
      </c>
      <c r="E3" s="27" t="s">
        <v>4</v>
      </c>
      <c r="F3" s="27" t="s">
        <v>5</v>
      </c>
      <c r="G3" s="27" t="s">
        <v>18</v>
      </c>
    </row>
    <row r="4" spans="1:7">
      <c r="A4" t="s">
        <v>7</v>
      </c>
      <c r="B4" s="12">
        <f>SUM(Raw_Data!C2,Raw_Data!C3,Table1[[#This Row],[Revenue Budget]])</f>
        <v>750000</v>
      </c>
      <c r="C4" s="12">
        <f>SUM(Raw_Data!D2,Raw_Data!D3,Table1[[#This Row],[Revenue Actual ]])</f>
        <v>775000</v>
      </c>
      <c r="D4" s="13">
        <f>(C4-B4)/B4</f>
        <v>3.3333333333333333E-2</v>
      </c>
      <c r="E4" s="12">
        <f>SUM(Raw_Data!E2,Raw_Data!E3,Table1[[#This Row],[Expense Budget]],Raw_Data!E5)</f>
        <v>440000</v>
      </c>
      <c r="F4" s="12">
        <f>SUM(Raw_Data!F2,Raw_Data!F3,Table1[[#This Row],[Expense Actual]],Raw_Data!F5)</f>
        <v>447000</v>
      </c>
      <c r="G4" s="12">
        <f>C4-F4</f>
        <v>328000</v>
      </c>
    </row>
    <row r="5" spans="1:7">
      <c r="A5" t="s">
        <v>13</v>
      </c>
      <c r="B5" s="12">
        <f>SUM(Raw_Data!C7,Raw_Data!C8,Raw_Data!C9)</f>
        <v>780000</v>
      </c>
      <c r="C5" s="12">
        <f>SUM(Raw_Data!D7,Raw_Data!D9,Raw_Data!D8)</f>
        <v>805000</v>
      </c>
      <c r="D5" s="13">
        <f t="shared" ref="D5:D15" si="0">(C5-B5)/B5</f>
        <v>3.2051282051282048E-2</v>
      </c>
      <c r="E5" s="12">
        <f>SUM(Raw_Data!E6,Raw_Data!E7,Raw_Data!E8,Raw_Data!E9,Raw_Data!E10)</f>
        <v>517000</v>
      </c>
      <c r="F5" s="12">
        <f>SUM(Raw_Data!F6,Raw_Data!F7,Raw_Data!F8,Raw_Data!F9,Raw_Data!F10)</f>
        <v>528000</v>
      </c>
      <c r="G5" s="12">
        <f t="shared" ref="G5:G15" si="1">C5-F5</f>
        <v>277000</v>
      </c>
    </row>
    <row r="6" spans="1:7">
      <c r="A6" t="s">
        <v>14</v>
      </c>
      <c r="B6" s="12">
        <f>SUM(Raw_Data!C12,Raw_Data!C13,Raw_Data!C14,)</f>
        <v>810000</v>
      </c>
      <c r="C6" s="12">
        <f>SUM(Raw_Data!D12,Raw_Data!D13,Raw_Data!D14)</f>
        <v>841000</v>
      </c>
      <c r="D6" s="13">
        <f t="shared" si="0"/>
        <v>3.8271604938271607E-2</v>
      </c>
      <c r="E6" s="12">
        <f>SUM(Raw_Data!E11,Raw_Data!E12,Raw_Data!E13,Raw_Data!E14,Raw_Data!E15)</f>
        <v>529000</v>
      </c>
      <c r="F6" s="12">
        <f>SUM(Raw_Data!F11,Raw_Data!F12,Raw_Data!F13,Raw_Data!F14,Raw_Data!F15)</f>
        <v>543000</v>
      </c>
      <c r="G6" s="12">
        <f t="shared" si="1"/>
        <v>298000</v>
      </c>
    </row>
    <row r="7" spans="1:7">
      <c r="A7" t="s">
        <v>21</v>
      </c>
      <c r="B7" s="12">
        <f>SUM(Raw_Data!C17,Raw_Data!C18,Raw_Data!C19)</f>
        <v>840000</v>
      </c>
      <c r="C7" s="12">
        <f>SUM(Raw_Data!D17,Raw_Data!D18,Raw_Data!D19)</f>
        <v>857000</v>
      </c>
      <c r="D7" s="13">
        <f t="shared" si="0"/>
        <v>2.0238095238095239E-2</v>
      </c>
      <c r="E7" s="12">
        <f>SUM(Raw_Data!E16,Raw_Data!E17,Raw_Data!E18,Raw_Data!E19,Raw_Data!E20)</f>
        <v>539000</v>
      </c>
      <c r="F7" s="12">
        <f>SUM(Raw_Data!F16,Raw_Data!F17,Raw_Data!F18,Raw_Data!F19,Raw_Data!F20)</f>
        <v>537000</v>
      </c>
      <c r="G7" s="12">
        <f t="shared" si="1"/>
        <v>320000</v>
      </c>
    </row>
    <row r="8" spans="1:7">
      <c r="A8" t="s">
        <v>22</v>
      </c>
      <c r="B8" s="12">
        <f>SUM(Raw_Data!C22,Raw_Data!C23,Raw_Data!C24,)</f>
        <v>865000</v>
      </c>
      <c r="C8" s="12">
        <f>SUM(Raw_Data!D22,Raw_Data!D23,Raw_Data!D24)</f>
        <v>883000</v>
      </c>
      <c r="D8" s="13">
        <f t="shared" si="0"/>
        <v>2.0809248554913295E-2</v>
      </c>
      <c r="E8" s="12">
        <f>SUM(Raw_Data!E21,Raw_Data!E22,Raw_Data!E23,Raw_Data!E24,Raw_Data!E25)</f>
        <v>547000</v>
      </c>
      <c r="F8" s="12">
        <f>SUM(Raw_Data!F21,Raw_Data!F22,Raw_Data!F23,Raw_Data!F24,Raw_Data!E25)</f>
        <v>552000</v>
      </c>
      <c r="G8" s="12">
        <f t="shared" si="1"/>
        <v>331000</v>
      </c>
    </row>
    <row r="9" spans="1:7">
      <c r="A9" t="s">
        <v>23</v>
      </c>
      <c r="B9" s="12">
        <f>SUM(Raw_Data!C27,Raw_Data!C28,Raw_Data!C29)</f>
        <v>890000</v>
      </c>
      <c r="C9" s="12">
        <f>SUM(Raw_Data!D27,Raw_Data!D28,Raw_Data!D29)</f>
        <v>913000</v>
      </c>
      <c r="D9" s="13">
        <f t="shared" si="0"/>
        <v>2.5842696629213482E-2</v>
      </c>
      <c r="E9" s="12">
        <f>SUM(Raw_Data!E26,Raw_Data!E27,Raw_Data!E29,Raw_Data!E30,Raw_Data!E28)</f>
        <v>556000</v>
      </c>
      <c r="F9" s="12">
        <f>SUM(Raw_Data!F26,Raw_Data!F27,Raw_Data!F28,Raw_Data!F29,Raw_Data!F30)</f>
        <v>559000</v>
      </c>
      <c r="G9" s="12">
        <f t="shared" si="1"/>
        <v>354000</v>
      </c>
    </row>
    <row r="10" spans="1:7">
      <c r="A10" t="s">
        <v>24</v>
      </c>
      <c r="B10" s="12">
        <f>SUM(Raw_Data!C32,Raw_Data!C33,Raw_Data!C34)</f>
        <v>915000</v>
      </c>
      <c r="C10" s="12">
        <f>SUM(Raw_Data!D32,Raw_Data!D33,Raw_Data!D34)</f>
        <v>910000</v>
      </c>
      <c r="D10" s="13">
        <f t="shared" si="0"/>
        <v>-5.4644808743169399E-3</v>
      </c>
      <c r="E10" s="12">
        <f>SUM(Raw_Data!E31,Raw_Data!E32,Raw_Data!E33,Raw_Data!E34,Raw_Data!E35)</f>
        <v>566000</v>
      </c>
      <c r="F10" s="12">
        <f>SUM(Raw_Data!F31,Raw_Data!F32,Raw_Data!F33,Raw_Data!F34,Raw_Data!F35)</f>
        <v>569000</v>
      </c>
      <c r="G10" s="12">
        <f t="shared" si="1"/>
        <v>341000</v>
      </c>
    </row>
    <row r="11" spans="1:7">
      <c r="A11" t="s">
        <v>25</v>
      </c>
      <c r="B11" s="12">
        <f>SUM(Raw_Data!C38,Raw_Data!C39,Raw_Data!C37)</f>
        <v>940000</v>
      </c>
      <c r="C11" s="12">
        <f>SUM(Raw_Data!D37,Raw_Data!D38,Raw_Data!D39)</f>
        <v>962000</v>
      </c>
      <c r="D11" s="13">
        <f t="shared" si="0"/>
        <v>2.3404255319148935E-2</v>
      </c>
      <c r="E11" s="12">
        <f>SUM(Raw_Data!E36,Raw_Data!E37,Raw_Data!E38,Raw_Data!E39,Raw_Data!E40)</f>
        <v>577000</v>
      </c>
      <c r="F11" s="12">
        <f>SUM(Raw_Data!F36,Raw_Data!F37,Raw_Data!F38,Raw_Data!F39,Raw_Data!F40)</f>
        <v>577000</v>
      </c>
      <c r="G11" s="12">
        <f t="shared" si="1"/>
        <v>385000</v>
      </c>
    </row>
    <row r="12" spans="1:7">
      <c r="A12" t="s">
        <v>26</v>
      </c>
      <c r="B12" s="12">
        <f>SUM(Raw_Data!C42,Raw_Data!C43,Raw_Data!C44)</f>
        <v>965000</v>
      </c>
      <c r="C12" s="12">
        <f>SUM(Raw_Data!D42,Raw_Data!D43,Raw_Data!D44)</f>
        <v>981000</v>
      </c>
      <c r="D12" s="13">
        <f t="shared" si="0"/>
        <v>1.6580310880829015E-2</v>
      </c>
      <c r="E12" s="12">
        <f>SUM(Raw_Data!E41,Raw_Data!E43,Raw_Data!E44,Raw_Data!E45,Raw_Data!E42)</f>
        <v>586000</v>
      </c>
      <c r="F12" s="12">
        <f>SUM(Raw_Data!F41,Raw_Data!F42,Raw_Data!F43,Raw_Data!F44,Raw_Data!F45)</f>
        <v>587000</v>
      </c>
      <c r="G12" s="12">
        <f t="shared" si="1"/>
        <v>394000</v>
      </c>
    </row>
    <row r="13" spans="1:7">
      <c r="A13" t="s">
        <v>27</v>
      </c>
      <c r="B13" s="12">
        <f>SUM(Raw_Data!C47,Raw_Data!C48,Raw_Data!C49)</f>
        <v>990000</v>
      </c>
      <c r="C13" s="12">
        <f>SUM(Raw_Data!D47,Raw_Data!D48,Raw_Data!D49)</f>
        <v>1018000</v>
      </c>
      <c r="D13" s="13">
        <f t="shared" si="0"/>
        <v>2.8282828282828285E-2</v>
      </c>
      <c r="E13" s="12">
        <f>SUM(Raw_Data!E46,Raw_Data!E47,Raw_Data!E48,Raw_Data!E50,Raw_Data!E49)</f>
        <v>596000</v>
      </c>
      <c r="F13" s="12">
        <f>SUM(Raw_Data!F46,Raw_Data!F47,Raw_Data!F48,Raw_Data!F49,Raw_Data!F50)</f>
        <v>596000</v>
      </c>
      <c r="G13" s="12">
        <f t="shared" si="1"/>
        <v>422000</v>
      </c>
    </row>
    <row r="14" spans="1:7">
      <c r="A14" t="s">
        <v>28</v>
      </c>
      <c r="B14" s="12">
        <f>SUM(Raw_Data!C52,Raw_Data!C53,Raw_Data!C54)</f>
        <v>1020000</v>
      </c>
      <c r="C14" s="12">
        <f>SUM(Raw_Data!D52,Raw_Data!D53,Raw_Data!D54)</f>
        <v>1016000</v>
      </c>
      <c r="D14" s="13">
        <f t="shared" si="0"/>
        <v>-3.9215686274509803E-3</v>
      </c>
      <c r="E14" s="12">
        <f>SUM(Raw_Data!E51,Raw_Data!E52,Raw_Data!E53,Raw_Data!E54,Raw_Data!E55)</f>
        <v>607000</v>
      </c>
      <c r="F14" s="12">
        <f>SUM(Raw_Data!F51,Raw_Data!F52,Raw_Data!F53,Raw_Data!F54,Raw_Data!F55)</f>
        <v>609000</v>
      </c>
      <c r="G14" s="12">
        <f t="shared" si="1"/>
        <v>407000</v>
      </c>
    </row>
    <row r="15" spans="1:7">
      <c r="A15" t="s">
        <v>29</v>
      </c>
      <c r="B15" s="12">
        <f>SUM(Raw_Data!C57,Raw_Data!C58,Raw_Data!C59)</f>
        <v>1050000</v>
      </c>
      <c r="C15" s="12">
        <f>SUM(Raw_Data!D57,Raw_Data!D58,Raw_Data!D59)</f>
        <v>1092000</v>
      </c>
      <c r="D15" s="13">
        <f t="shared" si="0"/>
        <v>0.04</v>
      </c>
      <c r="E15" s="12">
        <f>SUM(Raw_Data!E56,Raw_Data!E57,Raw_Data!E58,Raw_Data!E59,Raw_Data!E60)</f>
        <v>621000</v>
      </c>
      <c r="F15" s="12">
        <f>SUM(Raw_Data!F56,Raw_Data!F57,Raw_Data!F58,Raw_Data!F59,Raw_Data!F60)</f>
        <v>621000</v>
      </c>
      <c r="G15" s="12">
        <f t="shared" si="1"/>
        <v>471000</v>
      </c>
    </row>
    <row r="18" spans="1:5">
      <c r="A18" s="2" t="s">
        <v>32</v>
      </c>
    </row>
    <row r="20" spans="1:5">
      <c r="A20" s="27" t="s">
        <v>15</v>
      </c>
      <c r="B20" s="2" t="s">
        <v>16</v>
      </c>
      <c r="C20" s="2" t="s">
        <v>35</v>
      </c>
      <c r="D20" s="2" t="s">
        <v>17</v>
      </c>
      <c r="E20" s="2" t="s">
        <v>36</v>
      </c>
    </row>
    <row r="21" spans="1:5">
      <c r="A21" s="10" t="s">
        <v>33</v>
      </c>
      <c r="B21" s="11">
        <f>SUM(B4:B16)</f>
        <v>10815000</v>
      </c>
      <c r="C21" s="11">
        <f>SUM(C4:C15)</f>
        <v>11053000</v>
      </c>
      <c r="D21" s="11">
        <f>C21-B21</f>
        <v>238000</v>
      </c>
      <c r="E21" s="1">
        <f>D21/B21</f>
        <v>2.2006472491909384E-2</v>
      </c>
    </row>
    <row r="22" spans="1:5">
      <c r="A22" s="10" t="s">
        <v>34</v>
      </c>
      <c r="B22" s="25">
        <f>SUM(E4:E15)</f>
        <v>6681000</v>
      </c>
      <c r="C22" s="25">
        <f>SUM(F4:F15)</f>
        <v>6725000</v>
      </c>
      <c r="D22" s="25">
        <f>C22-B22</f>
        <v>44000</v>
      </c>
      <c r="E22" s="26">
        <f>D22/B22</f>
        <v>6.5858404430474476E-3</v>
      </c>
    </row>
    <row r="23" spans="1:5" ht="30">
      <c r="A23" s="10" t="s">
        <v>18</v>
      </c>
      <c r="B23" s="20">
        <f>B21-B22</f>
        <v>4134000</v>
      </c>
      <c r="C23" s="20">
        <f>C21-C22</f>
        <v>4328000</v>
      </c>
      <c r="D23" s="20">
        <f>C23-B23</f>
        <v>194000</v>
      </c>
      <c r="E23" s="21">
        <f>D23/B23</f>
        <v>4.6927914852443152E-2</v>
      </c>
    </row>
    <row r="24" spans="1:5">
      <c r="A24" s="10"/>
    </row>
    <row r="25" spans="1:5">
      <c r="A25" s="2" t="s">
        <v>37</v>
      </c>
    </row>
    <row r="26" spans="1:5">
      <c r="A26" s="14"/>
    </row>
    <row r="27" spans="1:5">
      <c r="A27" s="28" t="s">
        <v>20</v>
      </c>
      <c r="B27" s="2" t="s">
        <v>39</v>
      </c>
      <c r="C27" s="2" t="s">
        <v>38</v>
      </c>
      <c r="D27" s="2" t="s">
        <v>40</v>
      </c>
      <c r="E27" s="2" t="s">
        <v>41</v>
      </c>
    </row>
    <row r="28" spans="1:5">
      <c r="A28" t="s">
        <v>7</v>
      </c>
      <c r="B28" s="11">
        <f>F4-E4</f>
        <v>7000</v>
      </c>
      <c r="C28" s="1">
        <f>B28/E4</f>
        <v>1.5909090909090907E-2</v>
      </c>
      <c r="D28" s="11">
        <f>G4-(B4-E4)</f>
        <v>18000</v>
      </c>
      <c r="E28" s="1">
        <f>D28/(B4-E4)</f>
        <v>5.8064516129032261E-2</v>
      </c>
    </row>
    <row r="29" spans="1:5">
      <c r="A29" t="s">
        <v>13</v>
      </c>
      <c r="B29" s="11">
        <f t="shared" ref="B29:B39" si="2">F5-E5</f>
        <v>11000</v>
      </c>
      <c r="C29" s="1">
        <f t="shared" ref="C29:C39" si="3">B29/E5</f>
        <v>2.1276595744680851E-2</v>
      </c>
      <c r="D29" s="11">
        <f t="shared" ref="D29:D39" si="4">G5-(B5-E5)</f>
        <v>14000</v>
      </c>
      <c r="E29" s="1">
        <f t="shared" ref="E29:E39" si="5">D29/(B5-E5)</f>
        <v>5.3231939163498096E-2</v>
      </c>
    </row>
    <row r="30" spans="1:5">
      <c r="A30" t="s">
        <v>14</v>
      </c>
      <c r="B30" s="11">
        <f t="shared" si="2"/>
        <v>14000</v>
      </c>
      <c r="C30" s="1">
        <f t="shared" si="3"/>
        <v>2.6465028355387523E-2</v>
      </c>
      <c r="D30" s="11">
        <f t="shared" si="4"/>
        <v>17000</v>
      </c>
      <c r="E30" s="1">
        <f t="shared" si="5"/>
        <v>6.0498220640569395E-2</v>
      </c>
    </row>
    <row r="31" spans="1:5">
      <c r="A31" t="s">
        <v>21</v>
      </c>
      <c r="B31" s="11">
        <f t="shared" si="2"/>
        <v>-2000</v>
      </c>
      <c r="C31" s="1">
        <f t="shared" si="3"/>
        <v>-3.7105751391465678E-3</v>
      </c>
      <c r="D31" s="11">
        <f t="shared" si="4"/>
        <v>19000</v>
      </c>
      <c r="E31" s="1">
        <f t="shared" si="5"/>
        <v>6.3122923588039864E-2</v>
      </c>
    </row>
    <row r="32" spans="1:5">
      <c r="A32" t="s">
        <v>22</v>
      </c>
      <c r="B32" s="11">
        <f t="shared" si="2"/>
        <v>5000</v>
      </c>
      <c r="C32" s="1">
        <f t="shared" si="3"/>
        <v>9.140767824497258E-3</v>
      </c>
      <c r="D32" s="11">
        <f t="shared" si="4"/>
        <v>13000</v>
      </c>
      <c r="E32" s="1">
        <f t="shared" si="5"/>
        <v>4.0880503144654086E-2</v>
      </c>
    </row>
    <row r="33" spans="1:5">
      <c r="A33" t="s">
        <v>23</v>
      </c>
      <c r="B33" s="11">
        <f t="shared" si="2"/>
        <v>3000</v>
      </c>
      <c r="C33" s="1">
        <f t="shared" si="3"/>
        <v>5.3956834532374104E-3</v>
      </c>
      <c r="D33" s="11">
        <f t="shared" si="4"/>
        <v>20000</v>
      </c>
      <c r="E33" s="1">
        <f t="shared" si="5"/>
        <v>5.9880239520958084E-2</v>
      </c>
    </row>
    <row r="34" spans="1:5">
      <c r="A34" t="s">
        <v>24</v>
      </c>
      <c r="B34" s="11">
        <f t="shared" si="2"/>
        <v>3000</v>
      </c>
      <c r="C34" s="1">
        <f t="shared" si="3"/>
        <v>5.3003533568904597E-3</v>
      </c>
      <c r="D34" s="11">
        <f t="shared" si="4"/>
        <v>-8000</v>
      </c>
      <c r="E34" s="1">
        <f t="shared" si="5"/>
        <v>-2.2922636103151862E-2</v>
      </c>
    </row>
    <row r="35" spans="1:5">
      <c r="A35" t="s">
        <v>25</v>
      </c>
      <c r="B35" s="11">
        <f t="shared" si="2"/>
        <v>0</v>
      </c>
      <c r="C35" s="1">
        <f t="shared" si="3"/>
        <v>0</v>
      </c>
      <c r="D35" s="11">
        <f t="shared" si="4"/>
        <v>22000</v>
      </c>
      <c r="E35" s="1">
        <f t="shared" si="5"/>
        <v>6.0606060606060608E-2</v>
      </c>
    </row>
    <row r="36" spans="1:5">
      <c r="A36" t="s">
        <v>26</v>
      </c>
      <c r="B36" s="11">
        <f t="shared" si="2"/>
        <v>1000</v>
      </c>
      <c r="C36" s="1">
        <f t="shared" si="3"/>
        <v>1.7064846416382253E-3</v>
      </c>
      <c r="D36" s="11">
        <f t="shared" si="4"/>
        <v>15000</v>
      </c>
      <c r="E36" s="1">
        <f t="shared" si="5"/>
        <v>3.9577836411609502E-2</v>
      </c>
    </row>
    <row r="37" spans="1:5">
      <c r="A37" t="s">
        <v>27</v>
      </c>
      <c r="B37" s="11">
        <f t="shared" si="2"/>
        <v>0</v>
      </c>
      <c r="C37" s="1">
        <f t="shared" si="3"/>
        <v>0</v>
      </c>
      <c r="D37" s="11">
        <f t="shared" si="4"/>
        <v>28000</v>
      </c>
      <c r="E37" s="1">
        <f t="shared" si="5"/>
        <v>7.1065989847715741E-2</v>
      </c>
    </row>
    <row r="38" spans="1:5">
      <c r="A38" t="s">
        <v>28</v>
      </c>
      <c r="B38" s="11">
        <f t="shared" si="2"/>
        <v>2000</v>
      </c>
      <c r="C38" s="1">
        <f t="shared" si="3"/>
        <v>3.2948929159802307E-3</v>
      </c>
      <c r="D38" s="11">
        <f t="shared" si="4"/>
        <v>-6000</v>
      </c>
      <c r="E38" s="1">
        <f t="shared" si="5"/>
        <v>-1.4527845036319613E-2</v>
      </c>
    </row>
    <row r="39" spans="1:5">
      <c r="A39" t="s">
        <v>29</v>
      </c>
      <c r="B39" s="11">
        <f t="shared" si="2"/>
        <v>0</v>
      </c>
      <c r="C39" s="1">
        <f t="shared" si="3"/>
        <v>0</v>
      </c>
      <c r="D39" s="11">
        <f t="shared" si="4"/>
        <v>42000</v>
      </c>
      <c r="E39" s="1">
        <f t="shared" si="5"/>
        <v>9.7902097902097904E-2</v>
      </c>
    </row>
    <row r="40" spans="1:5">
      <c r="A40" s="14"/>
    </row>
    <row r="41" spans="1:5">
      <c r="A41" s="15"/>
    </row>
    <row r="42" spans="1:5">
      <c r="A42" s="15"/>
    </row>
    <row r="43" spans="1:5">
      <c r="A43" s="15"/>
    </row>
    <row r="47" spans="1:5" ht="31.5">
      <c r="A47" s="16"/>
    </row>
    <row r="52" spans="1:1">
      <c r="A52" s="14"/>
    </row>
    <row r="53" spans="1:1">
      <c r="A53" s="17"/>
    </row>
    <row r="59" spans="1:1">
      <c r="A59" s="18"/>
    </row>
    <row r="63" spans="1:1" ht="31.5">
      <c r="A63" s="16"/>
    </row>
    <row r="68" spans="1:1">
      <c r="A68" s="14"/>
    </row>
    <row r="69" spans="1:1">
      <c r="A69" s="17"/>
    </row>
    <row r="73" spans="1:1">
      <c r="A73" s="18"/>
    </row>
    <row r="77" spans="1:1" ht="31.5">
      <c r="A77" s="16"/>
    </row>
    <row r="82" spans="1:1">
      <c r="A82" s="14"/>
    </row>
    <row r="83" spans="1:1">
      <c r="A83" s="15"/>
    </row>
    <row r="87" spans="1:1">
      <c r="A87" s="18"/>
    </row>
    <row r="91" spans="1:1">
      <c r="A91" s="2"/>
    </row>
    <row r="95" spans="1:1" ht="31.5">
      <c r="A95" s="16"/>
    </row>
    <row r="100" spans="1:1">
      <c r="A100" s="14"/>
    </row>
    <row r="101" spans="1:1">
      <c r="A101" s="15"/>
    </row>
    <row r="105" spans="1:1">
      <c r="A105" s="19"/>
    </row>
    <row r="111" spans="1:1" ht="31.5">
      <c r="A111" s="16"/>
    </row>
    <row r="116" spans="1:1">
      <c r="A116" s="14"/>
    </row>
    <row r="117" spans="1:1">
      <c r="A117" s="17"/>
    </row>
    <row r="121" spans="1:1">
      <c r="A121" s="18"/>
    </row>
    <row r="125" spans="1:1" ht="31.5">
      <c r="A125" s="16"/>
    </row>
    <row r="130" spans="1:1">
      <c r="A130" s="14"/>
    </row>
    <row r="131" spans="1:1">
      <c r="A131" s="17"/>
    </row>
    <row r="135" spans="1:1">
      <c r="A135" s="18"/>
    </row>
    <row r="139" spans="1:1" ht="31.5">
      <c r="A139" s="16"/>
    </row>
    <row r="142" spans="1:1">
      <c r="A142" s="14"/>
    </row>
    <row r="143" spans="1:1">
      <c r="A143" s="15"/>
    </row>
    <row r="147" spans="1:1">
      <c r="A147" s="18"/>
    </row>
    <row r="153" spans="1:1">
      <c r="A153" s="2"/>
    </row>
    <row r="157" spans="1:1" ht="31.5">
      <c r="A157" s="16"/>
    </row>
    <row r="160" spans="1:1">
      <c r="A160" s="14"/>
    </row>
    <row r="161" spans="1:1">
      <c r="A161" s="15"/>
    </row>
    <row r="165" spans="1:1">
      <c r="A165" s="19"/>
    </row>
    <row r="169" spans="1:1">
      <c r="A169" s="2"/>
    </row>
    <row r="173" spans="1:1" ht="31.5">
      <c r="A173" s="16"/>
    </row>
    <row r="176" spans="1:1">
      <c r="A176" s="14"/>
    </row>
    <row r="177" spans="1:1">
      <c r="A177" s="15"/>
    </row>
    <row r="181" spans="1:1">
      <c r="A181" s="18"/>
    </row>
    <row r="185" spans="1:1">
      <c r="A185" s="2"/>
    </row>
    <row r="189" spans="1:1" ht="31.5">
      <c r="A189" s="16"/>
    </row>
    <row r="192" spans="1:1">
      <c r="A192" s="14"/>
    </row>
    <row r="193" spans="1:1">
      <c r="A193" s="15"/>
    </row>
    <row r="197" spans="1:1">
      <c r="A197" s="18"/>
    </row>
    <row r="201" spans="1:1" ht="31.5">
      <c r="A201" s="16"/>
    </row>
    <row r="204" spans="1:1">
      <c r="A204" s="14"/>
    </row>
    <row r="205" spans="1:1">
      <c r="A205" s="15"/>
    </row>
    <row r="209" spans="1:1">
      <c r="A209" s="18"/>
    </row>
    <row r="215" spans="1:1" ht="31.5">
      <c r="A215" s="16"/>
    </row>
    <row r="218" spans="1:1">
      <c r="A218" s="14"/>
    </row>
    <row r="219" spans="1:1">
      <c r="A219" s="15"/>
    </row>
    <row r="223" spans="1:1">
      <c r="A223" s="19"/>
    </row>
    <row r="227" spans="1:5" ht="31.5">
      <c r="A227" s="16"/>
    </row>
    <row r="229" spans="1:5">
      <c r="A229" s="9"/>
      <c r="B229" s="9"/>
      <c r="C229" s="9"/>
      <c r="D229" s="9"/>
      <c r="E229" s="9"/>
    </row>
    <row r="230" spans="1:5">
      <c r="A230" s="10"/>
      <c r="B230" s="20"/>
      <c r="C230" s="20"/>
      <c r="D230" s="20"/>
      <c r="E230" s="21"/>
    </row>
    <row r="231" spans="1:5">
      <c r="A231" s="10"/>
      <c r="B231" s="20"/>
      <c r="C231" s="20"/>
      <c r="D231" s="20"/>
      <c r="E231" s="21"/>
    </row>
    <row r="232" spans="1:5">
      <c r="A232" s="10"/>
      <c r="B232" s="20"/>
      <c r="C232" s="20"/>
      <c r="D232" s="20"/>
      <c r="E232" s="21"/>
    </row>
    <row r="234" spans="1:5" ht="18">
      <c r="A234" s="22"/>
    </row>
    <row r="238" spans="1:5">
      <c r="A238" s="2"/>
    </row>
    <row r="241" spans="1:1">
      <c r="A241" s="23"/>
    </row>
    <row r="242" spans="1:1">
      <c r="A242" s="24"/>
    </row>
    <row r="243" spans="1:1">
      <c r="A243" s="24"/>
    </row>
    <row r="244" spans="1:1">
      <c r="A244" s="24"/>
    </row>
    <row r="250" spans="1:1" ht="18">
      <c r="A250" s="22"/>
    </row>
    <row r="254" spans="1:1">
      <c r="A254" s="2"/>
    </row>
    <row r="256" spans="1:1">
      <c r="A25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6CBB2-118B-4F70-845F-5CDED8D11EBB}">
  <dimension ref="A1:O49"/>
  <sheetViews>
    <sheetView tabSelected="1" zoomScale="55" zoomScaleNormal="55" workbookViewId="0">
      <selection activeCell="AJ48" sqref="AJ48"/>
    </sheetView>
  </sheetViews>
  <sheetFormatPr defaultRowHeight="15"/>
  <cols>
    <col min="2" max="2" width="20.42578125" customWidth="1"/>
    <col min="3" max="3" width="17.5703125" customWidth="1"/>
  </cols>
  <sheetData>
    <row r="1" spans="1:15" ht="18.75">
      <c r="B1" s="30" t="s">
        <v>42</v>
      </c>
      <c r="C1" s="30"/>
    </row>
    <row r="4" spans="1:15" ht="18.75">
      <c r="A4" s="27" t="s">
        <v>0</v>
      </c>
      <c r="B4" s="27" t="s">
        <v>2</v>
      </c>
      <c r="C4" s="27" t="s">
        <v>3</v>
      </c>
      <c r="M4" s="32"/>
    </row>
    <row r="5" spans="1:15">
      <c r="A5" t="s">
        <v>7</v>
      </c>
      <c r="B5" s="12">
        <f>'FP&amp;A analysis'!B4</f>
        <v>750000</v>
      </c>
      <c r="C5" s="12">
        <f>'FP&amp;A analysis'!C4</f>
        <v>775000</v>
      </c>
    </row>
    <row r="6" spans="1:15" ht="16.5" customHeight="1">
      <c r="A6" t="s">
        <v>13</v>
      </c>
      <c r="B6" s="12">
        <f>'FP&amp;A analysis'!B5</f>
        <v>780000</v>
      </c>
      <c r="C6" s="12">
        <f>'FP&amp;A analysis'!C5</f>
        <v>805000</v>
      </c>
    </row>
    <row r="7" spans="1:15" ht="16.5" customHeight="1">
      <c r="A7" t="s">
        <v>14</v>
      </c>
      <c r="B7" s="12">
        <f>'FP&amp;A analysis'!B6</f>
        <v>810000</v>
      </c>
      <c r="C7" s="12">
        <f>'FP&amp;A analysis'!C6</f>
        <v>841000</v>
      </c>
      <c r="O7" s="29"/>
    </row>
    <row r="8" spans="1:15">
      <c r="A8" t="s">
        <v>21</v>
      </c>
      <c r="B8" s="12">
        <f>'FP&amp;A analysis'!B7</f>
        <v>840000</v>
      </c>
      <c r="C8" s="12">
        <f>'FP&amp;A analysis'!C7</f>
        <v>857000</v>
      </c>
    </row>
    <row r="9" spans="1:15">
      <c r="A9" t="s">
        <v>22</v>
      </c>
      <c r="B9" s="12">
        <f>'FP&amp;A analysis'!B8</f>
        <v>865000</v>
      </c>
      <c r="C9" s="12">
        <f>'FP&amp;A analysis'!C8</f>
        <v>883000</v>
      </c>
    </row>
    <row r="10" spans="1:15">
      <c r="A10" t="s">
        <v>23</v>
      </c>
      <c r="B10" s="12">
        <f>'FP&amp;A analysis'!B9</f>
        <v>890000</v>
      </c>
      <c r="C10" s="12">
        <f>'FP&amp;A analysis'!C9</f>
        <v>913000</v>
      </c>
      <c r="M10" s="33"/>
    </row>
    <row r="11" spans="1:15">
      <c r="A11" t="s">
        <v>24</v>
      </c>
      <c r="B11" s="12">
        <f>'FP&amp;A analysis'!B10</f>
        <v>915000</v>
      </c>
      <c r="C11" s="12">
        <f>'FP&amp;A analysis'!C10</f>
        <v>910000</v>
      </c>
    </row>
    <row r="12" spans="1:15">
      <c r="A12" t="s">
        <v>25</v>
      </c>
      <c r="B12" s="12">
        <f>'FP&amp;A analysis'!B11</f>
        <v>940000</v>
      </c>
      <c r="C12" s="12">
        <f>'FP&amp;A analysis'!C11</f>
        <v>962000</v>
      </c>
    </row>
    <row r="13" spans="1:15" ht="16.5" customHeight="1">
      <c r="A13" t="s">
        <v>26</v>
      </c>
      <c r="B13" s="12">
        <f>'FP&amp;A analysis'!B12</f>
        <v>965000</v>
      </c>
      <c r="C13" s="12">
        <f>'FP&amp;A analysis'!C12</f>
        <v>981000</v>
      </c>
    </row>
    <row r="14" spans="1:15">
      <c r="A14" t="s">
        <v>27</v>
      </c>
      <c r="B14" s="12">
        <f>'FP&amp;A analysis'!B13</f>
        <v>990000</v>
      </c>
      <c r="C14" s="12">
        <f>'FP&amp;A analysis'!C13</f>
        <v>1018000</v>
      </c>
    </row>
    <row r="15" spans="1:15">
      <c r="A15" t="s">
        <v>28</v>
      </c>
      <c r="B15" s="12">
        <f>'FP&amp;A analysis'!B14</f>
        <v>1020000</v>
      </c>
      <c r="C15" s="12">
        <f>'FP&amp;A analysis'!C14</f>
        <v>1016000</v>
      </c>
    </row>
    <row r="16" spans="1:15">
      <c r="A16" t="s">
        <v>29</v>
      </c>
      <c r="B16" s="12">
        <f>'FP&amp;A analysis'!B15</f>
        <v>1050000</v>
      </c>
      <c r="C16" s="12">
        <f>'FP&amp;A analysis'!C15</f>
        <v>1092000</v>
      </c>
    </row>
    <row r="19" spans="1:3" ht="18.75">
      <c r="B19" s="30" t="s">
        <v>43</v>
      </c>
      <c r="C19" s="31"/>
    </row>
    <row r="20" spans="1:3">
      <c r="A20" s="27" t="s">
        <v>0</v>
      </c>
      <c r="B20" s="27" t="s">
        <v>4</v>
      </c>
      <c r="C20" s="27" t="s">
        <v>44</v>
      </c>
    </row>
    <row r="21" spans="1:3">
      <c r="A21" t="s">
        <v>45</v>
      </c>
      <c r="B21" s="11">
        <f>'FP&amp;A analysis'!E4</f>
        <v>440000</v>
      </c>
      <c r="C21" s="11">
        <f>'FP&amp;A analysis'!F4</f>
        <v>447000</v>
      </c>
    </row>
    <row r="22" spans="1:3">
      <c r="A22" t="s">
        <v>46</v>
      </c>
      <c r="B22" s="11">
        <f>'FP&amp;A analysis'!E5</f>
        <v>517000</v>
      </c>
      <c r="C22" s="11">
        <f>'FP&amp;A analysis'!F5</f>
        <v>528000</v>
      </c>
    </row>
    <row r="23" spans="1:3">
      <c r="A23" t="s">
        <v>14</v>
      </c>
      <c r="B23" s="11">
        <f>'FP&amp;A analysis'!E6</f>
        <v>529000</v>
      </c>
      <c r="C23" s="11">
        <f>'FP&amp;A analysis'!F6</f>
        <v>543000</v>
      </c>
    </row>
    <row r="24" spans="1:3">
      <c r="A24" t="s">
        <v>21</v>
      </c>
      <c r="B24" s="11">
        <f>'FP&amp;A analysis'!E7</f>
        <v>539000</v>
      </c>
      <c r="C24" s="11">
        <f>'FP&amp;A analysis'!F7</f>
        <v>537000</v>
      </c>
    </row>
    <row r="25" spans="1:3">
      <c r="A25" t="s">
        <v>22</v>
      </c>
      <c r="B25" s="11">
        <f>'FP&amp;A analysis'!E8</f>
        <v>547000</v>
      </c>
      <c r="C25" s="11">
        <f>'FP&amp;A analysis'!F8</f>
        <v>552000</v>
      </c>
    </row>
    <row r="26" spans="1:3">
      <c r="A26" t="s">
        <v>23</v>
      </c>
      <c r="B26" s="11">
        <f>'FP&amp;A analysis'!E9</f>
        <v>556000</v>
      </c>
      <c r="C26" s="11">
        <f>'FP&amp;A analysis'!F9</f>
        <v>559000</v>
      </c>
    </row>
    <row r="27" spans="1:3">
      <c r="A27" t="s">
        <v>24</v>
      </c>
      <c r="B27" s="11">
        <f>'FP&amp;A analysis'!E10</f>
        <v>566000</v>
      </c>
      <c r="C27" s="11">
        <f>'FP&amp;A analysis'!F10</f>
        <v>569000</v>
      </c>
    </row>
    <row r="28" spans="1:3">
      <c r="A28" t="s">
        <v>25</v>
      </c>
      <c r="B28" s="11">
        <f>'FP&amp;A analysis'!E11</f>
        <v>577000</v>
      </c>
      <c r="C28" s="11">
        <f>'FP&amp;A analysis'!F11</f>
        <v>577000</v>
      </c>
    </row>
    <row r="29" spans="1:3">
      <c r="A29" t="s">
        <v>47</v>
      </c>
      <c r="B29" s="11">
        <f>'FP&amp;A analysis'!E12</f>
        <v>586000</v>
      </c>
      <c r="C29" s="11">
        <f>'FP&amp;A analysis'!F12</f>
        <v>587000</v>
      </c>
    </row>
    <row r="30" spans="1:3">
      <c r="A30" t="s">
        <v>27</v>
      </c>
      <c r="B30" s="11">
        <f>'FP&amp;A analysis'!E13</f>
        <v>596000</v>
      </c>
      <c r="C30" s="11">
        <f>'FP&amp;A analysis'!F13</f>
        <v>596000</v>
      </c>
    </row>
    <row r="31" spans="1:3">
      <c r="A31" t="s">
        <v>28</v>
      </c>
      <c r="B31" s="11">
        <f>'FP&amp;A analysis'!E14</f>
        <v>607000</v>
      </c>
      <c r="C31" s="11">
        <f>'FP&amp;A analysis'!F14</f>
        <v>609000</v>
      </c>
    </row>
    <row r="32" spans="1:3">
      <c r="A32" t="s">
        <v>29</v>
      </c>
      <c r="B32" s="11">
        <f>'FP&amp;A analysis'!E15</f>
        <v>621000</v>
      </c>
      <c r="C32" s="11">
        <f>'FP&amp;A analysis'!F15</f>
        <v>621000</v>
      </c>
    </row>
    <row r="34" spans="1:1" ht="18.75">
      <c r="A34" s="32" t="s">
        <v>48</v>
      </c>
    </row>
    <row r="36" spans="1:1">
      <c r="A36" s="2" t="s">
        <v>49</v>
      </c>
    </row>
    <row r="37" spans="1:1">
      <c r="A37" t="s">
        <v>50</v>
      </c>
    </row>
    <row r="39" spans="1:1">
      <c r="A39" s="2" t="s">
        <v>51</v>
      </c>
    </row>
    <row r="40" spans="1:1">
      <c r="A40" t="s">
        <v>54</v>
      </c>
    </row>
    <row r="42" spans="1:1">
      <c r="A42" s="2" t="s">
        <v>52</v>
      </c>
    </row>
    <row r="43" spans="1:1">
      <c r="A43" t="s">
        <v>53</v>
      </c>
    </row>
    <row r="45" spans="1:1">
      <c r="A45" s="2" t="s">
        <v>55</v>
      </c>
    </row>
    <row r="46" spans="1:1">
      <c r="A46" t="s">
        <v>56</v>
      </c>
    </row>
    <row r="48" spans="1:1">
      <c r="A48" s="2" t="s">
        <v>57</v>
      </c>
    </row>
    <row r="49" spans="1:1">
      <c r="A49" t="s">
        <v>58</v>
      </c>
    </row>
  </sheetData>
  <mergeCells count="2">
    <mergeCell ref="B1:C1"/>
    <mergeCell ref="B19:C1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FP&amp;A 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2026-09-05T05:16:21Z</dcterms:created>
  <dcterms:modified xsi:type="dcterms:W3CDTF">2026-09-07T18:52:35Z</dcterms:modified>
</cp:coreProperties>
</file>